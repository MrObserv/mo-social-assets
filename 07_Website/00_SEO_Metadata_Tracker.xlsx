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O Tracker" sheetId="1" state="visible" r:id="rId1"/>
    <sheet xmlns:r="http://schemas.openxmlformats.org/officeDocument/2006/relationships" name="Beehiiv Check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5F3EC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D2127"/>
      <sz val="10"/>
    </font>
    <font>
      <name val="Arial"/>
      <charset val="1"/>
      <family val="0"/>
      <color rgb="FF000000"/>
      <sz val="10"/>
    </font>
    <font>
      <name val="Arial"/>
      <b val="1"/>
      <color rgb="FF0D2127"/>
      <sz val="10"/>
    </font>
    <font>
      <name val="Arial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0D2127"/>
        <bgColor rgb="FF333333"/>
      </patternFill>
    </fill>
    <fill>
      <patternFill patternType="solid">
        <fgColor rgb="FF5D6F73"/>
        <bgColor rgb="FF808080"/>
      </patternFill>
    </fill>
    <fill>
      <patternFill patternType="solid">
        <fgColor rgb="FF5FD0C0"/>
        <bgColor rgb="FF99CCFF"/>
      </patternFill>
    </fill>
    <fill>
      <patternFill patternType="solid">
        <fgColor rgb="FFFFF6DA"/>
        <bgColor rgb="FFF5F3EC"/>
      </patternFill>
    </fill>
    <fill>
      <patternFill patternType="solid">
        <fgColor rgb="FFD7F0E7"/>
        <bgColor rgb="FFCCFFCC"/>
      </patternFill>
    </fill>
    <fill>
      <patternFill patternType="solid">
        <fgColor rgb="FF5FD0C0"/>
      </patternFill>
    </fill>
    <fill>
      <patternFill patternType="solid">
        <fgColor rgb="FFD7F0E7"/>
      </patternFill>
    </fill>
    <fill>
      <patternFill patternType="solid">
        <fgColor rgb="FFFFF6DA"/>
      </patternFill>
    </fill>
  </fills>
  <borders count="2">
    <border>
      <left/>
      <right/>
      <top/>
      <bottom/>
      <diagonal/>
    </border>
    <border>
      <left style="thin">
        <color rgb="FFC8D6D2"/>
      </left>
      <right style="thin">
        <color rgb="FFC8D6D2"/>
      </right>
      <top style="thin">
        <color rgb="FFC8D6D2"/>
      </top>
      <bottom style="thin">
        <color rgb="FFC8D6D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/>
    </xf>
    <xf numFmtId="0" fontId="8" fillId="7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2" fontId="9" fillId="0" borderId="0" applyAlignment="1" pivotButton="0" quotePrefix="0" xfId="0">
      <alignment vertical="top" wrapText="1"/>
    </xf>
    <xf numFmtId="0" fontId="7" fillId="8" borderId="0" applyAlignment="1" pivotButton="0" quotePrefix="0" xfId="0">
      <alignment horizontal="general" vertical="top" wrapText="1"/>
    </xf>
    <xf numFmtId="0" fontId="7" fillId="9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A"/>
      <rgbColor rgb="FFD7F0E7"/>
      <rgbColor rgb="FF660066"/>
      <rgbColor rgb="FFFF8080"/>
      <rgbColor rgb="FF0066CC"/>
      <rgbColor rgb="FFC8D6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3EC"/>
      <rgbColor rgb="FFCCFFCC"/>
      <rgbColor rgb="FFFFFF99"/>
      <rgbColor rgb="FF99CCFF"/>
      <rgbColor rgb="FFFF99CC"/>
      <rgbColor rgb="FFCC99FF"/>
      <rgbColor rgb="FFFFCC99"/>
      <rgbColor rgb="FF3366FF"/>
      <rgbColor rgb="FF5FD0C0"/>
      <rgbColor rgb="FF99CC00"/>
      <rgbColor rgb="FFFFCC00"/>
      <rgbColor rgb="FFFF9900"/>
      <rgbColor rgb="FFFF6600"/>
      <rgbColor rgb="FF5D6F73"/>
      <rgbColor rgb="FF969696"/>
      <rgbColor rgb="FF003366"/>
      <rgbColor rgb="FF339966"/>
      <rgbColor rgb="FF0D2127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2" min="1" max="1"/>
    <col width="42" customWidth="1" style="12" min="2" max="2"/>
    <col width="22" customWidth="1" style="12" min="3" max="3"/>
    <col width="9" customWidth="1" style="12" min="4" max="4"/>
    <col width="11" customWidth="1" style="12" min="5" max="5"/>
    <col width="9" customWidth="1" style="12" min="6" max="6"/>
    <col width="40" customWidth="1" style="12" min="7" max="7"/>
    <col width="8" customWidth="1" style="12" min="8" max="8"/>
    <col width="9" customWidth="1" style="12" min="9" max="9"/>
    <col width="50" customWidth="1" style="12" min="10" max="10"/>
    <col width="8" customWidth="1" style="12" min="11" max="11"/>
    <col width="9" customWidth="1" style="12" min="12" max="12"/>
    <col width="22" customWidth="1" style="12" min="13" max="13"/>
    <col width="40" customWidth="1" style="12" min="14" max="14"/>
  </cols>
  <sheetData>
    <row r="1" ht="33.75" customHeight="1" s="13">
      <c r="A1" s="14" t="inlineStr">
        <is>
          <t>Mastering Observability  —  Website SEO Tracker</t>
        </is>
      </c>
    </row>
    <row r="2" ht="19.5" customHeight="1" s="13">
      <c r="A2" s="15" t="inlineStr">
        <is>
          <t>Updated 2026-06-09   ·   Targets: meta title ≤ 60 chars, meta description 120–160 chars   ·   Canonical URLs use trailing slash where the page uses one</t>
        </is>
      </c>
    </row>
    <row r="3" ht="30" customHeight="1" s="13">
      <c r="A3" s="16" t="inlineStr">
        <is>
          <t>Page</t>
        </is>
      </c>
      <c r="B3" s="16" t="inlineStr">
        <is>
          <t>Canonical URL</t>
        </is>
      </c>
      <c r="C3" s="16" t="inlineStr">
        <is>
          <t>Type</t>
        </is>
      </c>
      <c r="D3" s="16" t="inlineStr">
        <is>
          <t>Index?</t>
        </is>
      </c>
      <c r="E3" s="16" t="inlineStr">
        <is>
          <t>SEO status</t>
        </is>
      </c>
      <c r="F3" s="16" t="inlineStr">
        <is>
          <t>Priority</t>
        </is>
      </c>
      <c r="G3" s="16" t="inlineStr">
        <is>
          <t>Meta title</t>
        </is>
      </c>
      <c r="H3" s="16" t="inlineStr">
        <is>
          <t>Title len</t>
        </is>
      </c>
      <c r="I3" s="16" t="inlineStr">
        <is>
          <t>Title check</t>
        </is>
      </c>
      <c r="J3" s="16" t="inlineStr">
        <is>
          <t>Meta description</t>
        </is>
      </c>
      <c r="K3" s="16" t="inlineStr">
        <is>
          <t>Desc len</t>
        </is>
      </c>
      <c r="L3" s="16" t="inlineStr">
        <is>
          <t>Desc check</t>
        </is>
      </c>
      <c r="M3" s="16" t="inlineStr">
        <is>
          <t>OG image</t>
        </is>
      </c>
      <c r="N3" s="16" t="inlineStr">
        <is>
          <t>Notes</t>
        </is>
      </c>
    </row>
    <row r="4" ht="23.25" customHeight="1" s="13">
      <c r="A4" s="17" t="inlineStr">
        <is>
          <t>Home</t>
        </is>
      </c>
      <c r="B4" s="17" t="inlineStr">
        <is>
          <t>https://masteringobservability.com/</t>
        </is>
      </c>
      <c r="C4" s="17" t="inlineStr">
        <is>
          <t>Parent hub (newsletter)</t>
        </is>
      </c>
      <c r="D4" s="17" t="inlineStr">
        <is>
          <t>Index</t>
        </is>
      </c>
      <c r="E4" s="18" t="inlineStr">
        <is>
          <t>Drafted</t>
        </is>
      </c>
      <c r="F4" s="17" t="inlineStr">
        <is>
          <t>High</t>
        </is>
      </c>
      <c r="G4" s="17" t="inlineStr">
        <is>
          <t>Mastering Observability | Observability for IT Ops Leaders</t>
        </is>
      </c>
      <c r="H4" s="19">
        <f>IF(LEN(G4)=0,"",LEN(G4))</f>
        <v/>
      </c>
      <c r="I4" s="19">
        <f>IF(LEN(G4)=0,"—",IF(LEN(G4)&lt;=60,"OK",IF(LEN(G4)&lt;=70,"Long","Over")))</f>
        <v/>
      </c>
      <c r="J4" s="17" t="inlineStr">
        <is>
          <t>The newsletter on observability and IT operations leadership, home of the Metrics &amp; Mayhem book and Signal Drop podcast. Signal for people who own the outcome.</t>
        </is>
      </c>
      <c r="K4" s="19">
        <f>IF(LEN(J4)=0,"",LEN(J4))</f>
        <v/>
      </c>
      <c r="L4" s="19">
        <f>IF(LEN(J4)=0,"—",IF(AND(LEN(J4)&gt;=120,LEN(J4)&lt;=160),"OK",IF(LEN(J4)&lt;=165,"Near","Fix")))</f>
        <v/>
      </c>
      <c r="M4" s="17" t="n"/>
      <c r="N4" s="17" t="inlineStr">
        <is>
          <t>Parent brand front door. Thin/default now. Keep distinct from the M&amp;M landing.</t>
        </is>
      </c>
    </row>
    <row r="5" ht="34.5" customHeight="1" s="13">
      <c r="A5" s="17" t="inlineStr">
        <is>
          <t>Metrics &amp; Mayhem (landing)</t>
        </is>
      </c>
      <c r="B5" s="17" t="inlineStr">
        <is>
          <t>https://www.masteringobservability.com/metrics-and-mayhem/</t>
        </is>
      </c>
      <c r="C5" s="17" t="inlineStr">
        <is>
          <t>Sub-brand hub</t>
        </is>
      </c>
      <c r="D5" s="17" t="inlineStr">
        <is>
          <t>Index</t>
        </is>
      </c>
      <c r="E5" s="20" t="inlineStr">
        <is>
          <t>Done</t>
        </is>
      </c>
      <c r="F5" s="17" t="inlineStr">
        <is>
          <t>High</t>
        </is>
      </c>
      <c r="G5" s="17" t="inlineStr">
        <is>
          <t>Metrics &amp; Mayhem | A CTO's Guide to Observability</t>
        </is>
      </c>
      <c r="H5" s="19">
        <f>IF(LEN(G5)=0,"",LEN(G5))</f>
        <v/>
      </c>
      <c r="I5" s="19">
        <f>IF(LEN(G5)=0,"—",IF(LEN(G5)&lt;=60,"OK",IF(LEN(G5)&lt;=70,"Long","Over")))</f>
        <v/>
      </c>
      <c r="J5" s="17" t="inlineStr">
        <is>
          <t>The book and podcast for IT leaders living the MTTR paradox: more tools, slower recovery. Metrics &amp; Mayhem closes the gap between the dashboard and the outcome.</t>
        </is>
      </c>
      <c r="K5" s="19">
        <f>IF(LEN(J5)=0,"",LEN(J5))</f>
        <v/>
      </c>
      <c r="L5" s="19">
        <f>IF(LEN(J5)=0,"—",IF(AND(LEN(J5)&gt;=120,LEN(J5)&lt;=160),"OK",IF(LEN(J5)&lt;=165,"Near","Fix")))</f>
        <v/>
      </c>
      <c r="M5" s="17" t="inlineStr">
        <is>
          <t>og_metrics_mayhem_landing_1200x630.png (OG) + x_metrics_mayhem_landing_1200x630.png (X) — 06_Brand_Assets</t>
        </is>
      </c>
      <c r="N5" s="17" t="inlineStr">
        <is>
          <t>HTML block built + copy approved. Router to /book and /podcast.</t>
        </is>
      </c>
    </row>
    <row r="6" ht="23.25" customHeight="1" s="13">
      <c r="A6" s="17" t="inlineStr">
        <is>
          <t>The Book</t>
        </is>
      </c>
      <c r="B6" s="17" t="inlineStr">
        <is>
          <t>https://www.masteringobservability.com/metrics-and-mayhem/book</t>
        </is>
      </c>
      <c r="C6" s="17" t="inlineStr">
        <is>
          <t>Book landing</t>
        </is>
      </c>
      <c r="D6" s="17" t="inlineStr">
        <is>
          <t>Index</t>
        </is>
      </c>
      <c r="E6" s="18" t="inlineStr">
        <is>
          <t>Drafted</t>
        </is>
      </c>
      <c r="F6" s="17" t="inlineStr">
        <is>
          <t>High</t>
        </is>
      </c>
      <c r="G6" s="17" t="inlineStr">
        <is>
          <t>Metrics &amp; Mayhem: The Book | Observability for CTOs</t>
        </is>
      </c>
      <c r="H6" s="19">
        <f>IF(LEN(G6)=0,"",LEN(G6))</f>
        <v/>
      </c>
      <c r="I6" s="19">
        <f>IF(LEN(G6)=0,"—",IF(LEN(G6)&lt;=60,"OK",IF(LEN(G6)&lt;=70,"Long","Over")))</f>
        <v/>
      </c>
      <c r="J6" s="17" t="inlineStr">
        <is>
          <t>A CTO's guide to observability that actually works. Why incident recovery keeps getting slower, and the phased plan to fix it. Kindle, paperback and hardback.</t>
        </is>
      </c>
      <c r="K6" s="19">
        <f>IF(LEN(J6)=0,"",LEN(J6))</f>
        <v/>
      </c>
      <c r="L6" s="19">
        <f>IF(LEN(J6)=0,"—",IF(AND(LEN(J6)&gt;=120,LEN(J6)&lt;=160),"OK",IF(LEN(J6)&lt;=165,"Near","Fix")))</f>
        <v/>
      </c>
      <c r="M6" s="17" t="inlineStr">
        <is>
          <t>Book cover (1200x630)</t>
        </is>
      </c>
      <c r="N6" s="17" t="inlineStr">
        <is>
          <t>Page already built. Strong MTTR-paradox hook available from Amazon copy.</t>
        </is>
      </c>
    </row>
    <row r="7" ht="23.25" customHeight="1" s="13">
      <c r="A7" s="17" t="inlineStr">
        <is>
          <t>Podcast</t>
        </is>
      </c>
      <c r="B7" s="17" t="inlineStr">
        <is>
          <t>https://www.masteringobservability.com/metrics-and-mayhem/podcast</t>
        </is>
      </c>
      <c r="C7" s="17" t="inlineStr">
        <is>
          <t>Podcast hub</t>
        </is>
      </c>
      <c r="D7" s="17" t="inlineStr">
        <is>
          <t>Index</t>
        </is>
      </c>
      <c r="E7" s="18" t="inlineStr">
        <is>
          <t>Drafted</t>
        </is>
      </c>
      <c r="F7" s="17" t="inlineStr">
        <is>
          <t>High</t>
        </is>
      </c>
      <c r="G7" s="17" t="inlineStr">
        <is>
          <t>Signal Drop | The Metrics &amp; Mayhem Podcast</t>
        </is>
      </c>
      <c r="H7" s="19">
        <f>IF(LEN(G7)=0,"",LEN(G7))</f>
        <v/>
      </c>
      <c r="I7" s="19">
        <f>IF(LEN(G7)=0,"—",IF(LEN(G7)&lt;=60,"OK",IF(LEN(G7)&lt;=70,"Long","Over")))</f>
        <v/>
      </c>
      <c r="J7" s="17" t="inlineStr">
        <is>
          <t>Five-minute Signal Drops on observability, IT ops and leadership under pressure. One idea, one habit, no theatre. New episodes on Spotify, Apple and YouTube.</t>
        </is>
      </c>
      <c r="K7" s="19">
        <f>IF(LEN(J7)=0,"",LEN(J7))</f>
        <v/>
      </c>
      <c r="L7" s="19">
        <f>IF(LEN(J7)=0,"—",IF(AND(LEN(J7)&gt;=120,LEN(J7)&lt;=160),"OK",IF(LEN(J7)&lt;=165,"Near","Fix")))</f>
        <v/>
      </c>
      <c r="M7" s="17" t="inlineStr">
        <is>
          <t>Signal Drop OG (1200x630)</t>
        </is>
      </c>
      <c r="N7" s="17" t="inlineStr">
        <is>
          <t>Page already built. 17 eps + Deep Dives.</t>
        </is>
      </c>
    </row>
    <row r="8" ht="23.25" customHeight="1" s="13">
      <c r="A8" s="17" t="inlineStr">
        <is>
          <t>Free Chapter</t>
        </is>
      </c>
      <c r="B8" s="17" t="inlineStr">
        <is>
          <t>https://www.masteringobservability.com/metrics-and-mayhem/free-chapter</t>
        </is>
      </c>
      <c r="C8" s="17" t="inlineStr">
        <is>
          <t>Lead magnet</t>
        </is>
      </c>
      <c r="D8" s="17" t="inlineStr">
        <is>
          <t>Index</t>
        </is>
      </c>
      <c r="E8" s="18" t="inlineStr">
        <is>
          <t>Drafted</t>
        </is>
      </c>
      <c r="F8" s="17" t="inlineStr">
        <is>
          <t>Med</t>
        </is>
      </c>
      <c r="G8" s="17" t="inlineStr">
        <is>
          <t>Free Chapter | Metrics &amp; Mayhem</t>
        </is>
      </c>
      <c r="H8" s="19">
        <f>IF(LEN(G8)=0,"",LEN(G8))</f>
        <v/>
      </c>
      <c r="I8" s="19">
        <f>IF(LEN(G8)=0,"—",IF(LEN(G8)&lt;=60,"OK",IF(LEN(G8)&lt;=70,"Long","Over")))</f>
        <v/>
      </c>
      <c r="J8" s="17" t="inlineStr">
        <is>
          <t>Read a free chapter of Metrics &amp; Mayhem, a CTO's guide to observability that actually works. What separates the teams that recover fast from those that don't.</t>
        </is>
      </c>
      <c r="K8" s="19">
        <f>IF(LEN(J8)=0,"",LEN(J8))</f>
        <v/>
      </c>
      <c r="L8" s="19">
        <f>IF(LEN(J8)=0,"—",IF(AND(LEN(J8)&gt;=120,LEN(J8)&lt;=160),"OK",IF(LEN(J8)&lt;=165,"Near","Fix")))</f>
        <v/>
      </c>
      <c r="M8" s="17" t="inlineStr">
        <is>
          <t>Book cover (1200x630)</t>
        </is>
      </c>
      <c r="N8" s="17" t="inlineStr">
        <is>
          <t>Confirm page exists. Lead-capture for the book.</t>
        </is>
      </c>
    </row>
    <row r="9" ht="23.25" customHeight="1" s="13">
      <c r="A9" s="17" t="inlineStr">
        <is>
          <t>Archive</t>
        </is>
      </c>
      <c r="B9" s="17" t="inlineStr">
        <is>
          <t>https://masteringobservability.com/archive</t>
        </is>
      </c>
      <c r="C9" s="17" t="inlineStr">
        <is>
          <t>System (post list)</t>
        </is>
      </c>
      <c r="D9" s="17" t="inlineStr">
        <is>
          <t>Index</t>
        </is>
      </c>
      <c r="E9" s="18" t="inlineStr">
        <is>
          <t>Drafted</t>
        </is>
      </c>
      <c r="F9" s="17" t="inlineStr">
        <is>
          <t>Med</t>
        </is>
      </c>
      <c r="G9" s="17" t="inlineStr">
        <is>
          <t>Article Archive | Mastering Observability</t>
        </is>
      </c>
      <c r="H9" s="19">
        <f>IF(LEN(G9)=0,"",LEN(G9))</f>
        <v/>
      </c>
      <c r="I9" s="19">
        <f>IF(LEN(G9)=0,"—",IF(LEN(G9)&lt;=60,"OK",IF(LEN(G9)&lt;=70,"Long","Over")))</f>
        <v/>
      </c>
      <c r="J9" s="17" t="inlineStr">
        <is>
          <t>Every Mastering Observability article in one place: observability adoption, IT operations leadership, incident recovery and the signals that actually matter.</t>
        </is>
      </c>
      <c r="K9" s="19">
        <f>IF(LEN(J9)=0,"",LEN(J9))</f>
        <v/>
      </c>
      <c r="L9" s="19">
        <f>IF(LEN(J9)=0,"—",IF(AND(LEN(J9)&gt;=120,LEN(J9)&lt;=160),"OK",IF(LEN(J9)&lt;=165,"Near","Fix")))</f>
        <v/>
      </c>
      <c r="M9" s="17" t="inlineStr">
        <is>
          <t>Default</t>
        </is>
      </c>
      <c r="N9" s="17" t="inlineStr">
        <is>
          <t>beehiiv default page. Worth a custom title for long-tail reach.</t>
        </is>
      </c>
    </row>
    <row r="10" ht="15" customHeight="1" s="13">
      <c r="A10" s="17" t="inlineStr">
        <is>
          <t>Tags</t>
        </is>
      </c>
      <c r="B10" s="17" t="inlineStr">
        <is>
          <t>https://masteringobservability.com/tags</t>
        </is>
      </c>
      <c r="C10" s="17" t="inlineStr">
        <is>
          <t>System (taxonomy)</t>
        </is>
      </c>
      <c r="D10" s="17" t="inlineStr">
        <is>
          <t>Index</t>
        </is>
      </c>
      <c r="E10" s="18" t="inlineStr">
        <is>
          <t>Drafted</t>
        </is>
      </c>
      <c r="F10" s="17" t="inlineStr">
        <is>
          <t>Low</t>
        </is>
      </c>
      <c r="G10" s="17" t="inlineStr">
        <is>
          <t>Browse by Topic | Mastering Observability</t>
        </is>
      </c>
      <c r="H10" s="19">
        <f>IF(LEN(G10)=0,"",LEN(G10))</f>
        <v/>
      </c>
      <c r="I10" s="19">
        <f>IF(LEN(G10)=0,"—",IF(LEN(G10)&lt;=60,"OK",IF(LEN(G10)&lt;=70,"Long","Over")))</f>
        <v/>
      </c>
      <c r="J10" s="17" t="inlineStr">
        <is>
          <t>Explore Mastering Observability by topic: observability, IT operations, incident response, reliability and operations leadership. Find the signal you need.</t>
        </is>
      </c>
      <c r="K10" s="19">
        <f>IF(LEN(J10)=0,"",LEN(J10))</f>
        <v/>
      </c>
      <c r="L10" s="19">
        <f>IF(LEN(J10)=0,"—",IF(AND(LEN(J10)&gt;=120,LEN(J10)&lt;=160),"OK",IF(LEN(J10)&lt;=165,"Near","Fix")))</f>
        <v/>
      </c>
      <c r="M10" s="17" t="inlineStr">
        <is>
          <t>Default</t>
        </is>
      </c>
      <c r="N10" s="17" t="inlineStr">
        <is>
          <t>Low priority. Generic title acceptable.</t>
        </is>
      </c>
    </row>
    <row r="11" ht="23.25" customHeight="1" s="13">
      <c r="A11" s="17" t="inlineStr">
        <is>
          <t>Authors</t>
        </is>
      </c>
      <c r="B11" s="17" t="inlineStr">
        <is>
          <t>https://masteringobservability.com/authors</t>
        </is>
      </c>
      <c r="C11" s="17" t="inlineStr">
        <is>
          <t>System (author)</t>
        </is>
      </c>
      <c r="D11" s="17" t="inlineStr">
        <is>
          <t>Index</t>
        </is>
      </c>
      <c r="E11" s="18" t="inlineStr">
        <is>
          <t>Drafted</t>
        </is>
      </c>
      <c r="F11" s="17" t="inlineStr">
        <is>
          <t>Low</t>
        </is>
      </c>
      <c r="G11" s="17" t="inlineStr">
        <is>
          <t>Allan Mann | Mastering Observability</t>
        </is>
      </c>
      <c r="H11" s="19">
        <f>IF(LEN(G11)=0,"",LEN(G11))</f>
        <v/>
      </c>
      <c r="I11" s="19">
        <f>IF(LEN(G11)=0,"—",IF(LEN(G11)&lt;=60,"OK",IF(LEN(G11)&lt;=70,"Long","Over")))</f>
        <v/>
      </c>
      <c r="J11" s="17" t="inlineStr">
        <is>
          <t>Allan Mann writes Mastering Observability and Metrics &amp; Mayhem: field notes on observability, IT operations leadership and recovery that actually holds up.</t>
        </is>
      </c>
      <c r="K11" s="19">
        <f>IF(LEN(J11)=0,"",LEN(J11))</f>
        <v/>
      </c>
      <c r="L11" s="19">
        <f>IF(LEN(J11)=0,"—",IF(AND(LEN(J11)&gt;=120,LEN(J11)&lt;=160),"OK",IF(LEN(J11)&lt;=165,"Near","Fix")))</f>
        <v/>
      </c>
      <c r="M11" s="17" t="inlineStr">
        <is>
          <t>Allan headshot</t>
        </is>
      </c>
      <c r="N11" s="17" t="inlineStr">
        <is>
          <t>Single-author site; could 301 to About or noindex.</t>
        </is>
      </c>
    </row>
    <row r="12" ht="15" customHeight="1" s="13">
      <c r="A12" s="17" t="inlineStr">
        <is>
          <t>Subscribe</t>
        </is>
      </c>
      <c r="B12" s="17" t="inlineStr">
        <is>
          <t>https://masteringobservability.com/subscribe</t>
        </is>
      </c>
      <c r="C12" s="17" t="inlineStr">
        <is>
          <t>Conversion</t>
        </is>
      </c>
      <c r="D12" s="17" t="inlineStr">
        <is>
          <t>Index</t>
        </is>
      </c>
      <c r="E12" s="18" t="inlineStr">
        <is>
          <t>Drafted</t>
        </is>
      </c>
      <c r="F12" s="17" t="inlineStr">
        <is>
          <t>Med</t>
        </is>
      </c>
      <c r="G12" s="17" t="inlineStr">
        <is>
          <t>Subscribe | Mastering Observability</t>
        </is>
      </c>
      <c r="H12" s="19">
        <f>IF(LEN(G12)=0,"",LEN(G12))</f>
        <v/>
      </c>
      <c r="I12" s="19">
        <f>IF(LEN(G12)=0,"—",IF(LEN(G12)&lt;=60,"OK",IF(LEN(G12)&lt;=70,"Long","Over")))</f>
        <v/>
      </c>
      <c r="J12" s="17" t="inlineStr">
        <is>
          <t>Join IT operations leaders reading Mastering Observability: practical writing on observability and recovery, in your inbox. One email, no noise.</t>
        </is>
      </c>
      <c r="K12" s="19">
        <f>IF(LEN(J12)=0,"",LEN(J12))</f>
        <v/>
      </c>
      <c r="L12" s="19">
        <f>IF(LEN(J12)=0,"—",IF(AND(LEN(J12)&gt;=120,LEN(J12)&lt;=160),"OK",IF(LEN(J12)&lt;=165,"Near","Fix")))</f>
        <v/>
      </c>
      <c r="M12" s="17" t="inlineStr">
        <is>
          <t>Default</t>
        </is>
      </c>
      <c r="N12" s="17" t="inlineStr">
        <is>
          <t>Newsletter opt-in. Title should sell the subscribe.</t>
        </is>
      </c>
    </row>
    <row r="13" ht="15" customHeight="1" s="13">
      <c r="A13" s="17" t="inlineStr">
        <is>
          <t>Upgrade</t>
        </is>
      </c>
      <c r="B13" s="17" t="inlineStr">
        <is>
          <t>https://masteringobservability.com/upgrade</t>
        </is>
      </c>
      <c r="C13" s="17" t="inlineStr">
        <is>
          <t>System (paid)</t>
        </is>
      </c>
      <c r="D13" s="17" t="inlineStr">
        <is>
          <t>Noindex</t>
        </is>
      </c>
      <c r="E13" s="17" t="inlineStr">
        <is>
          <t>N/A</t>
        </is>
      </c>
      <c r="F13" s="17" t="inlineStr">
        <is>
          <t>Low</t>
        </is>
      </c>
      <c r="G13" s="17" t="n"/>
      <c r="H13" s="19">
        <f>IF(LEN(G13)=0,"",LEN(G13))</f>
        <v/>
      </c>
      <c r="I13" s="19">
        <f>IF(LEN(G13)=0,"—",IF(LEN(G13)&lt;=60,"OK",IF(LEN(G13)&lt;=70,"Long","Over")))</f>
        <v/>
      </c>
      <c r="J13" s="17" t="n"/>
      <c r="K13" s="19">
        <f>IF(LEN(J13)=0,"",LEN(J13))</f>
        <v/>
      </c>
      <c r="L13" s="19">
        <f>IF(LEN(J13)=0,"—",IF(AND(LEN(J13)&gt;=120,LEN(J13)&lt;=160),"OK",IF(LEN(J13)&lt;=165,"Near","Fix")))</f>
        <v/>
      </c>
      <c r="M13" s="17" t="inlineStr">
        <is>
          <t>—</t>
        </is>
      </c>
      <c r="N13" s="17" t="inlineStr">
        <is>
          <t>Typically noindex. Skip unless monetising.</t>
        </is>
      </c>
    </row>
    <row r="14" ht="15" customHeight="1" s="13">
      <c r="A14" s="17" t="inlineStr">
        <is>
          <t>Login</t>
        </is>
      </c>
      <c r="B14" s="17" t="inlineStr">
        <is>
          <t>https://masteringobservability.com/login</t>
        </is>
      </c>
      <c r="C14" s="17" t="inlineStr">
        <is>
          <t>Utility</t>
        </is>
      </c>
      <c r="D14" s="17" t="inlineStr">
        <is>
          <t>Noindex</t>
        </is>
      </c>
      <c r="E14" s="17" t="inlineStr">
        <is>
          <t>N/A</t>
        </is>
      </c>
      <c r="F14" s="17" t="inlineStr">
        <is>
          <t>Skip</t>
        </is>
      </c>
      <c r="G14" s="17" t="n"/>
      <c r="H14" s="19">
        <f>IF(LEN(G14)=0,"",LEN(G14))</f>
        <v/>
      </c>
      <c r="I14" s="19">
        <f>IF(LEN(G14)=0,"—",IF(LEN(G14)&lt;=60,"OK",IF(LEN(G14)&lt;=70,"Long","Over")))</f>
        <v/>
      </c>
      <c r="J14" s="17" t="n"/>
      <c r="K14" s="19">
        <f>IF(LEN(J14)=0,"",LEN(J14))</f>
        <v/>
      </c>
      <c r="L14" s="19">
        <f>IF(LEN(J14)=0,"—",IF(AND(LEN(J14)&gt;=120,LEN(J14)&lt;=160),"OK",IF(LEN(J14)&lt;=165,"Near","Fix")))</f>
        <v/>
      </c>
      <c r="M14" s="17" t="inlineStr">
        <is>
          <t>—</t>
        </is>
      </c>
      <c r="N14" s="17" t="inlineStr">
        <is>
          <t>Noindex. No SEO needed.</t>
        </is>
      </c>
    </row>
    <row r="15" ht="15" customHeight="1" s="13">
      <c r="A15" s="17" t="inlineStr">
        <is>
          <t>Reset Password</t>
        </is>
      </c>
      <c r="B15" s="17" t="inlineStr">
        <is>
          <t>https://masteringobservability.com/reset-password</t>
        </is>
      </c>
      <c r="C15" s="17" t="inlineStr">
        <is>
          <t>Utility</t>
        </is>
      </c>
      <c r="D15" s="17" t="inlineStr">
        <is>
          <t>Noindex</t>
        </is>
      </c>
      <c r="E15" s="17" t="inlineStr">
        <is>
          <t>N/A</t>
        </is>
      </c>
      <c r="F15" s="17" t="inlineStr">
        <is>
          <t>Skip</t>
        </is>
      </c>
      <c r="G15" s="17" t="n"/>
      <c r="H15" s="19">
        <f>IF(LEN(G15)=0,"",LEN(G15))</f>
        <v/>
      </c>
      <c r="I15" s="19">
        <f>IF(LEN(G15)=0,"—",IF(LEN(G15)&lt;=60,"OK",IF(LEN(G15)&lt;=70,"Long","Over")))</f>
        <v/>
      </c>
      <c r="J15" s="17" t="n"/>
      <c r="K15" s="19">
        <f>IF(LEN(J15)=0,"",LEN(J15))</f>
        <v/>
      </c>
      <c r="L15" s="19">
        <f>IF(LEN(J15)=0,"—",IF(AND(LEN(J15)&gt;=120,LEN(J15)&lt;=160),"OK",IF(LEN(J15)&lt;=165,"Near","Fix")))</f>
        <v/>
      </c>
      <c r="M15" s="17" t="inlineStr">
        <is>
          <t>—</t>
        </is>
      </c>
      <c r="N15" s="17" t="inlineStr">
        <is>
          <t>Noindex. No SEO needed.</t>
        </is>
      </c>
    </row>
    <row r="16" ht="23.25" customHeight="1" s="13">
      <c r="A16" s="21" t="inlineStr">
        <is>
          <t>Article — OTel Collector Guide</t>
        </is>
      </c>
      <c r="B16" s="21" t="inlineStr">
        <is>
          <t>https://www.masteringobservability.com/p/opentelemetry-collector-implementation-guide</t>
        </is>
      </c>
      <c r="C16" s="21" t="inlineStr">
        <is>
          <t>Blog post (evergreen)</t>
        </is>
      </c>
      <c r="D16" s="21" t="inlineStr">
        <is>
          <t>Index</t>
        </is>
      </c>
      <c r="E16" s="27" t="inlineStr">
        <is>
          <t>Done</t>
        </is>
      </c>
      <c r="F16" s="21" t="inlineStr">
        <is>
          <t>High</t>
        </is>
      </c>
      <c r="G16" s="21" t="inlineStr">
        <is>
          <t>OpenTelemetry Collector Implementation Guide</t>
        </is>
      </c>
      <c r="H16" s="23">
        <f>IF(LEN(G16)=0,"",LEN(G16))</f>
        <v/>
      </c>
      <c r="I16" s="23">
        <f>IF(LEN(G16)=0,"—",IF(LEN(G16)&lt;=60,"OK",IF(LEN(G16)&lt;=70,"Long","Over")))</f>
        <v/>
      </c>
      <c r="J16" s="21" t="inlineStr">
        <is>
          <t>A step-by-step OpenTelemetry Collector guide: collect, process, and export metrics, logs, and traces for unified observability across modern systems.</t>
        </is>
      </c>
      <c r="K16" s="23">
        <f>IF(LEN(J16)=0,"",LEN(J16))</f>
        <v/>
      </c>
      <c r="L16" s="23">
        <f>IF(LEN(J16)=0,"—",IF(AND(LEN(J16)&gt;=120,LEN(J16)&lt;=160),"OK",IF(LEN(J16)&lt;=165,"Near","Fix")))</f>
        <v/>
      </c>
      <c r="M16" s="21" t="inlineStr">
        <is>
          <t>New article OG card 1200x630 (06_Brand_Assets)</t>
        </is>
      </c>
      <c r="N16" s="21" t="inlineStr">
        <is>
          <t>Live 2026-06-12 — meta matches draft. Source: beehiiv.</t>
        </is>
      </c>
    </row>
    <row r="17" ht="23.25" customHeight="1" s="13">
      <c r="A17" s="21" t="inlineStr">
        <is>
          <t>Article — Harmonising IT</t>
        </is>
      </c>
      <c r="B17" s="21" t="inlineStr">
        <is>
          <t>https://www.masteringobservability.com/p/mastering-it-observability</t>
        </is>
      </c>
      <c r="C17" s="21" t="inlineStr">
        <is>
          <t>Blog post (evergreen)</t>
        </is>
      </c>
      <c r="D17" s="21" t="inlineStr">
        <is>
          <t>Index</t>
        </is>
      </c>
      <c r="E17" s="27" t="inlineStr">
        <is>
          <t>Done</t>
        </is>
      </c>
      <c r="F17" s="21" t="inlineStr">
        <is>
          <t>High</t>
        </is>
      </c>
      <c r="G17" s="21" t="inlineStr">
        <is>
          <t>How to Craft an Observability Strategy Like a Symphony</t>
        </is>
      </c>
      <c r="H17" s="23">
        <f>IF(LEN(G17)=0,"",LEN(G17))</f>
        <v/>
      </c>
      <c r="I17" s="23">
        <f>IF(LEN(G17)=0,"—",IF(LEN(G17)&lt;=60,"OK",IF(LEN(G17)&lt;=70,"Long","Over")))</f>
        <v/>
      </c>
      <c r="J17" s="21" t="inlineStr">
        <is>
          <t>How to design an observability strategy that aligns IT with business goals, tunes signal over noise, and keeps systems performing under pressure.</t>
        </is>
      </c>
      <c r="K17" s="23">
        <f>IF(LEN(J17)=0,"",LEN(J17))</f>
        <v/>
      </c>
      <c r="L17" s="23">
        <f>IF(LEN(J17)=0,"—",IF(AND(LEN(J17)&gt;=120,LEN(J17)&lt;=160),"OK",IF(LEN(J17)&lt;=165,"Near","Fix")))</f>
        <v/>
      </c>
      <c r="M17" s="21" t="inlineStr">
        <is>
          <t>New article OG card 1200x630 (06_Brand_Assets)</t>
        </is>
      </c>
      <c r="N17" s="21" t="inlineStr">
        <is>
          <t>Live 2026-06-12 — meta title/desc OK. FIX in beehiiv: OG title shows 'rafting' (missing leading C); set to 'Crafting an Observability Strategy Like a Symphony'.</t>
        </is>
      </c>
    </row>
    <row r="18" ht="23.25" customHeight="1" s="13">
      <c r="A18" s="21" t="inlineStr">
        <is>
          <t>Article — Business-Aligned Obs.</t>
        </is>
      </c>
      <c r="B18" s="21" t="inlineStr">
        <is>
          <t>https://www.masteringobservability.com/p/the-power-of-business-aligned-observability</t>
        </is>
      </c>
      <c r="C18" s="21" t="inlineStr">
        <is>
          <t>Blog post (evergreen)</t>
        </is>
      </c>
      <c r="D18" s="21" t="inlineStr">
        <is>
          <t>Index</t>
        </is>
      </c>
      <c r="E18" s="27" t="inlineStr">
        <is>
          <t>Done</t>
        </is>
      </c>
      <c r="F18" s="21" t="inlineStr">
        <is>
          <t>High</t>
        </is>
      </c>
      <c r="G18" s="21" t="inlineStr">
        <is>
          <t>Business-Aligned Observability: Win a Competitive Edge</t>
        </is>
      </c>
      <c r="H18" s="23">
        <f>IF(LEN(G18)=0,"",LEN(G18))</f>
        <v/>
      </c>
      <c r="I18" s="23">
        <f>IF(LEN(G18)=0,"—",IF(LEN(G18)&lt;=60,"OK",IF(LEN(G18)&lt;=70,"Long","Over")))</f>
        <v/>
      </c>
      <c r="J18" s="21" t="inlineStr">
        <is>
          <t>Map observability metrics to business KPIs. See how aligning IT signals with outcomes drives efficiency, customer experience, and competitive edge.</t>
        </is>
      </c>
      <c r="K18" s="23">
        <f>IF(LEN(J18)=0,"",LEN(J18))</f>
        <v/>
      </c>
      <c r="L18" s="23">
        <f>IF(LEN(J18)=0,"—",IF(AND(LEN(J18)&gt;=120,LEN(J18)&lt;=160),"OK",IF(LEN(J18)&lt;=165,"Near","Fix")))</f>
        <v/>
      </c>
      <c r="M18" s="21" t="inlineStr">
        <is>
          <t>New article OG card 1200x630 (06_Brand_Assets)</t>
        </is>
      </c>
      <c r="N18" s="21" t="inlineStr">
        <is>
          <t>Live 2026-06-12 — meta matches draft. Source: beehiiv.</t>
        </is>
      </c>
    </row>
    <row r="19" ht="23.25" customHeight="1" s="13">
      <c r="A19" s="21" t="inlineStr">
        <is>
          <t>Article — Cost Conundrum (1/5)</t>
        </is>
      </c>
      <c r="B19" s="21" t="inlineStr">
        <is>
          <t>https://www.masteringobservability.com/p/the-observability-cost-conundrum</t>
        </is>
      </c>
      <c r="C19" s="21" t="inlineStr">
        <is>
          <t>Blog post (evergreen)</t>
        </is>
      </c>
      <c r="D19" s="21" t="inlineStr">
        <is>
          <t>Index</t>
        </is>
      </c>
      <c r="E19" s="27" t="inlineStr">
        <is>
          <t>Done</t>
        </is>
      </c>
      <c r="F19" s="21" t="inlineStr">
        <is>
          <t>High</t>
        </is>
      </c>
      <c r="G19" s="21" t="inlineStr">
        <is>
          <t>The Observability Cost Conundrum: Paying Too Much?</t>
        </is>
      </c>
      <c r="H19" s="23">
        <f>IF(LEN(G19)=0,"",LEN(G19))</f>
        <v/>
      </c>
      <c r="I19" s="23">
        <f>IF(LEN(G19)=0,"—",IF(LEN(G19)&lt;=60,"OK",IF(LEN(G19)&lt;=70,"Long","Over")))</f>
        <v/>
      </c>
      <c r="J19" s="21" t="inlineStr">
        <is>
          <t>Observability can eat 10-30% of your infrastructure budget. See why costs climb toward $4.1B by 2028 and how to tell if you are overpaying.</t>
        </is>
      </c>
      <c r="K19" s="23">
        <f>IF(LEN(J19)=0,"",LEN(J19))</f>
        <v/>
      </c>
      <c r="L19" s="23">
        <f>IF(LEN(J19)=0,"—",IF(AND(LEN(J19)&gt;=120,LEN(J19)&lt;=160),"OK",IF(LEN(J19)&lt;=165,"Near","Fix")))</f>
        <v/>
      </c>
      <c r="M19" s="21" t="inlineStr">
        <is>
          <t>Beyond the Numbers series card 1200x630 (06_Brand_Assets)</t>
        </is>
      </c>
      <c r="N19" s="21" t="inlineStr">
        <is>
          <t>Live 2026-06-12 — meta matches draft. Source: beehiiv.</t>
        </is>
      </c>
    </row>
    <row r="20" ht="23.25" customHeight="1" s="13">
      <c r="A20" s="21" t="inlineStr">
        <is>
          <t>Article — Cost Strategy (5/5)</t>
        </is>
      </c>
      <c r="B20" s="21" t="inlineStr">
        <is>
          <t>https://www.masteringobservability.com/p/building-a-comprehensive-cost-effective-observability-strategy</t>
        </is>
      </c>
      <c r="C20" s="21" t="inlineStr">
        <is>
          <t>Blog post (evergreen)</t>
        </is>
      </c>
      <c r="D20" s="21" t="inlineStr">
        <is>
          <t>Index</t>
        </is>
      </c>
      <c r="E20" s="28" t="inlineStr">
        <is>
          <t>Drafted</t>
        </is>
      </c>
      <c r="F20" s="21" t="inlineStr">
        <is>
          <t>High</t>
        </is>
      </c>
      <c r="G20" s="21" t="inlineStr">
        <is>
          <t>Build a Cost-Effective Observability Strategy</t>
        </is>
      </c>
      <c r="H20" s="23">
        <f>IF(LEN(G20)=0,"",LEN(G20))</f>
        <v/>
      </c>
      <c r="I20" s="23">
        <f>IF(LEN(G20)=0,"—",IF(LEN(G20)&lt;=60,"OK",IF(LEN(G20)&lt;=70,"Long","Over")))</f>
        <v/>
      </c>
      <c r="J20" s="21" t="inlineStr">
        <is>
          <t>Benchmark your observability spend, apply the 20-30% rule, and build a strategy that controls cost without losing the visibility you need.</t>
        </is>
      </c>
      <c r="K20" s="23">
        <f>IF(LEN(J20)=0,"",LEN(J20))</f>
        <v/>
      </c>
      <c r="L20" s="23">
        <f>IF(LEN(J20)=0,"—",IF(AND(LEN(J20)&gt;=120,LEN(J20)&lt;=160),"OK",IF(LEN(J20)&lt;=165,"Near","Fix")))</f>
        <v/>
      </c>
      <c r="M20" s="21" t="inlineStr">
        <is>
          <t>Beyond the Numbers series card 1200x630 (06_Brand_Assets)</t>
        </is>
      </c>
      <c r="N20" s="21" t="inlineStr">
        <is>
          <t>Live 2026-06-12 — title OK. FIX: live description is the older 118-char version (checks 'Near'); re-paste the 138-char version from column J.</t>
        </is>
      </c>
    </row>
    <row r="21" ht="23.25" customHeight="1" s="13">
      <c r="A21" s="21" t="inlineStr">
        <is>
          <t>Article — What Is Grafana Alloy</t>
        </is>
      </c>
      <c r="B21" s="21" t="inlineStr">
        <is>
          <t>https://www.masteringobservability.com/p/what-is-grafana-alloy</t>
        </is>
      </c>
      <c r="C21" s="21" t="inlineStr">
        <is>
          <t>Blog post (evergreen)</t>
        </is>
      </c>
      <c r="D21" s="21" t="inlineStr">
        <is>
          <t>Index</t>
        </is>
      </c>
      <c r="E21" s="27" t="inlineStr">
        <is>
          <t>Done</t>
        </is>
      </c>
      <c r="F21" s="21" t="inlineStr">
        <is>
          <t>High</t>
        </is>
      </c>
      <c r="G21" s="21" t="inlineStr">
        <is>
          <t>What Is Grafana Alloy? A Practical Observability Guide</t>
        </is>
      </c>
      <c r="H21" s="23">
        <f>IF(LEN(G21)=0,"",LEN(G21))</f>
        <v/>
      </c>
      <c r="I21" s="23">
        <f>IF(LEN(G21)=0,"—",IF(LEN(G21)&lt;=60,"OK",IF(LEN(G21)&lt;=70,"Long","Over")))</f>
        <v/>
      </c>
      <c r="J21" s="21" t="inlineStr">
        <is>
          <t>A plain-English guide to Grafana Alloy: what it does, how it fits your observability stack, and whether it is the right collector for you.</t>
        </is>
      </c>
      <c r="K21" s="23">
        <f>IF(LEN(J21)=0,"",LEN(J21))</f>
        <v/>
      </c>
      <c r="L21" s="23">
        <f>IF(LEN(J21)=0,"—",IF(AND(LEN(J21)&gt;=120,LEN(J21)&lt;=160),"OK",IF(LEN(J21)&lt;=165,"Near","Fix")))</f>
        <v/>
      </c>
      <c r="M21" s="21" t="inlineStr">
        <is>
          <t>byte-size series card 1200x630 (06_Brand_Assets)</t>
        </is>
      </c>
      <c r="N21" s="21" t="inlineStr">
        <is>
          <t>Live 2026-06-12 — meta matches draft. Source: beehiiv.</t>
        </is>
      </c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3" min="1" max="1"/>
    <col width="12" customWidth="1" style="13" min="2" max="2"/>
    <col width="12" customWidth="1" style="13" min="3" max="3"/>
    <col width="13" customWidth="1" style="13" min="4" max="4"/>
    <col width="9" customWidth="1" style="13" min="5" max="5"/>
    <col width="9" customWidth="1" style="13" min="6" max="6"/>
    <col width="9" customWidth="1" style="13" min="7" max="7"/>
    <col width="18" customWidth="1" style="13" min="8" max="8"/>
    <col width="46" customWidth="1" style="13" min="9" max="9"/>
  </cols>
  <sheetData>
    <row r="1" ht="42" customHeight="1" s="13">
      <c r="A1" s="24" t="inlineStr">
        <is>
          <t>Date</t>
        </is>
      </c>
      <c r="B1" s="24" t="inlineStr">
        <is>
          <t>Active subs</t>
        </is>
      </c>
      <c r="C1" s="24" t="inlineStr">
        <is>
          <t>4-wk open %</t>
        </is>
      </c>
      <c r="D1" s="24" t="inlineStr">
        <is>
          <t>4-wk click %</t>
        </is>
      </c>
      <c r="E1" s="24" t="inlineStr">
        <is>
          <t>New subs</t>
        </is>
      </c>
      <c r="F1" s="24" t="inlineStr">
        <is>
          <t>Churned</t>
        </is>
      </c>
      <c r="G1" s="24" t="inlineStr">
        <is>
          <t>Net subs</t>
        </is>
      </c>
      <c r="H1" s="24" t="inlineStr">
        <is>
          <t>Signal Drop pages live (target 17)</t>
        </is>
      </c>
      <c r="I1" s="24" t="inlineStr">
        <is>
          <t>Notes</t>
        </is>
      </c>
    </row>
    <row r="2">
      <c r="A2" s="25" t="inlineStr">
        <is>
          <t>2026-06-09</t>
        </is>
      </c>
      <c r="B2" s="25" t="n">
        <v>545</v>
      </c>
      <c r="C2" s="26" t="n">
        <v>33.88</v>
      </c>
      <c r="D2" s="26" t="n">
        <v>2.82</v>
      </c>
      <c r="E2" s="25" t="n">
        <v>4</v>
      </c>
      <c r="F2" s="25" t="n">
        <v>7</v>
      </c>
      <c r="G2" s="25" t="n">
        <v>-3</v>
      </c>
      <c r="H2" s="25" t="n">
        <v>12</v>
      </c>
      <c r="I2" s="25" t="inlineStr">
        <is>
          <t>Baseline set with improvement plan.</t>
        </is>
      </c>
    </row>
    <row r="3">
      <c r="A3" s="25" t="inlineStr">
        <is>
          <t>2026-06-12</t>
        </is>
      </c>
      <c r="B3" s="25" t="n">
        <v>544</v>
      </c>
      <c r="C3" s="26" t="n">
        <v>33.46</v>
      </c>
      <c r="D3" s="26" t="n">
        <v>4.19</v>
      </c>
      <c r="E3" s="25" t="n">
        <v>4</v>
      </c>
      <c r="F3" s="25" t="n">
        <v>8</v>
      </c>
      <c r="G3" s="25" t="n">
        <v>-4</v>
      </c>
      <c r="H3" s="25" t="n">
        <v>12</v>
      </c>
      <c r="I3" s="25" t="inlineStr">
        <is>
          <t>Check before applying evergreen meta. Click rate up; net subs still negative; SD page count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2026-06-02T08:54:33Z</dcterms:created>
  <dcterms:modified xmlns:dcterms="http://purl.org/dc/terms/" xmlns:xsi="http://www.w3.org/2001/XMLSchema-instance" xsi:type="dcterms:W3CDTF">2026-06-12T16:46:10Z</dcterms:modified>
  <cp:revision>0</cp:revision>
</cp:coreProperties>
</file>